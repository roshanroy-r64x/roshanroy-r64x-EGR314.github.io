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rosh\Downloads\"/>
    </mc:Choice>
  </mc:AlternateContent>
  <xr:revisionPtr revIDLastSave="0" documentId="13_ncr:1_{F6BB0869-93C2-4F2C-8102-C2FE635CB22E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" i="1" l="1"/>
  <c r="F20" i="1"/>
  <c r="D20" i="1"/>
  <c r="P19" i="1"/>
  <c r="F19" i="1"/>
  <c r="D19" i="1"/>
  <c r="P18" i="1"/>
  <c r="F18" i="1"/>
  <c r="D18" i="1"/>
  <c r="P17" i="1"/>
  <c r="F17" i="1"/>
  <c r="D17" i="1"/>
  <c r="P16" i="1"/>
  <c r="F16" i="1"/>
  <c r="D16" i="1"/>
  <c r="P15" i="1"/>
  <c r="F15" i="1"/>
  <c r="D15" i="1"/>
  <c r="P14" i="1"/>
  <c r="F14" i="1"/>
  <c r="D14" i="1"/>
  <c r="P13" i="1"/>
  <c r="F13" i="1"/>
  <c r="D13" i="1"/>
  <c r="P12" i="1"/>
  <c r="F12" i="1"/>
  <c r="D12" i="1"/>
  <c r="P11" i="1"/>
  <c r="F11" i="1"/>
  <c r="D11" i="1"/>
  <c r="P10" i="1"/>
  <c r="F10" i="1"/>
  <c r="D10" i="1"/>
  <c r="P9" i="1"/>
  <c r="F9" i="1"/>
  <c r="D9" i="1"/>
  <c r="P8" i="1"/>
  <c r="F8" i="1"/>
  <c r="D8" i="1"/>
  <c r="P7" i="1"/>
  <c r="F7" i="1"/>
  <c r="D7" i="1"/>
  <c r="P6" i="1"/>
  <c r="F6" i="1"/>
  <c r="D6" i="1"/>
  <c r="P5" i="1"/>
  <c r="F5" i="1"/>
  <c r="D5" i="1"/>
  <c r="P4" i="1"/>
  <c r="F4" i="1"/>
  <c r="D4" i="1"/>
  <c r="P3" i="1"/>
  <c r="F3" i="1"/>
  <c r="D3" i="1"/>
</calcChain>
</file>

<file path=xl/sharedStrings.xml><?xml version="1.0" encoding="utf-8"?>
<sst xmlns="http://schemas.openxmlformats.org/spreadsheetml/2006/main" count="162" uniqueCount="137">
  <si>
    <t>Bill of Materials - Human Interface/UI Subsystem</t>
  </si>
  <si>
    <t>Part Name/Description</t>
  </si>
  <si>
    <t>Unit Quantity</t>
  </si>
  <si>
    <t>Unit Prototype Cost</t>
  </si>
  <si>
    <t>Total Prototype Cost</t>
  </si>
  <si>
    <t>Unit Production Cost</t>
  </si>
  <si>
    <t>Total Production Cost</t>
  </si>
  <si>
    <t>Manufacturer</t>
  </si>
  <si>
    <t>Manufacturer Part #</t>
  </si>
  <si>
    <t>Vendor Link</t>
  </si>
  <si>
    <t>Datasheet Link</t>
  </si>
  <si>
    <t>Supplier</t>
  </si>
  <si>
    <t>Supplier Part #</t>
  </si>
  <si>
    <t># Ordered</t>
  </si>
  <si>
    <t>Date Ordered</t>
  </si>
  <si>
    <t># Received</t>
  </si>
  <si>
    <t>Surplus</t>
  </si>
  <si>
    <t>Schematic Reference Designators</t>
  </si>
  <si>
    <t>10 µF Ceramic Capacitor, X5R/X7R, 0805 package</t>
  </si>
  <si>
    <t>Samsung</t>
  </si>
  <si>
    <t>CL21A106KPFNNNE</t>
  </si>
  <si>
    <t>https://www.digikey.com/en/products/detail/samsung-electro-mechanics/CL21A106KPFNNNE/3892513</t>
  </si>
  <si>
    <t>https://media.digikey.com/pdf/Data%20Sheets/Samsung%20PDFs/CL21A106KPFNNNE_Spec.pdf</t>
  </si>
  <si>
    <t>DigiKey</t>
  </si>
  <si>
    <t>1276-6466-1-ND</t>
  </si>
  <si>
    <t>C1, C6</t>
  </si>
  <si>
    <t>22 µF Ceramic Capacitor, X5R, 1206 package</t>
  </si>
  <si>
    <t>CL31A226KAHNNNE</t>
  </si>
  <si>
    <t>https://www.digikey.com/en/products/detail/samsung-electro-mechanics/CL31A226KAHNNNE/3889316</t>
  </si>
  <si>
    <t>https://media.digikey.com/pdf/Data%20Sheets/Samsung%20PDFs/CL31A226KAHNNNE_Spec.pdf</t>
  </si>
  <si>
    <t>1276-1075-1-ND</t>
  </si>
  <si>
    <t>C2</t>
  </si>
  <si>
    <t>0.1 µF Ceramic Capacitor, 50 V, X7R, 0805 package</t>
  </si>
  <si>
    <t>Yageo</t>
  </si>
  <si>
    <t>CC0805KRX7R9BB104</t>
  </si>
  <si>
    <t>https://www.digikey.com/en/products/detail/yageo/CC0805KRX7R9BB104/114912</t>
  </si>
  <si>
    <t>https://www.yageo.com/upload/media/product/productsearch/datasheet/mlcc/UPY-GPHC_X7R_4V-to-500V_18.pdf</t>
  </si>
  <si>
    <t>311-1344-1-ND</t>
  </si>
  <si>
    <t>C3, C4, C5, C7, C8, C9</t>
  </si>
  <si>
    <t>0805 Red Status LED</t>
  </si>
  <si>
    <t>Kingbright</t>
  </si>
  <si>
    <t>AP2012EC</t>
  </si>
  <si>
    <t>https://www.digikey.com/en/products/detail/kingbright/AP2012EC/2658844</t>
  </si>
  <si>
    <t>https://www.kingbrightusa.com/images/catalog/SPEC/AP2012EC.pdf</t>
  </si>
  <si>
    <t>754-1603-1-ND</t>
  </si>
  <si>
    <t>D1</t>
  </si>
  <si>
    <t>Resettable Polyfuse, 500 mA hold</t>
  </si>
  <si>
    <t>Bourns</t>
  </si>
  <si>
    <t>MF-MSMF050-2</t>
  </si>
  <si>
    <t>https://www.digikey.com/en/products/detail/bourns-inc/MF-MSMF050-2/662816</t>
  </si>
  <si>
    <t>https://www.bourns.com/docs/product-datasheets/mfmsmf.pdf</t>
  </si>
  <si>
    <t>MF-MSMF050-2CT-ND</t>
  </si>
  <si>
    <t>F1</t>
  </si>
  <si>
    <t>DC Barrel Jack, 2.1 mm, switched</t>
  </si>
  <si>
    <t>CUI Devices</t>
  </si>
  <si>
    <t>PJ-102AH</t>
  </si>
  <si>
    <t>https://www.digikey.com/en/products/detail/cui-devices/PJ-102AH/275425</t>
  </si>
  <si>
    <t>https://www.cuidevices.com/product/resource/pj-102ah.pdf</t>
  </si>
  <si>
    <t>CP-102AH-ND</t>
  </si>
  <si>
    <t>J1</t>
  </si>
  <si>
    <t>2x4 IDC TeamBus Header</t>
  </si>
  <si>
    <t>Amphenol ICC</t>
  </si>
  <si>
    <t>76382-304LF</t>
  </si>
  <si>
    <t>https://www.digikey.com/en/products/detail/amphenol-cs-fci/76382-304LF/1001540</t>
  </si>
  <si>
    <t>https://cdn.amphenol-cs.com/media/wysiwyg/files/drawing/76382.pdf</t>
  </si>
  <si>
    <t>609-3715-ND</t>
  </si>
  <si>
    <t>J2, J3</t>
  </si>
  <si>
    <t>0.96 in SSD1306 I2C OLED Display Module</t>
  </si>
  <si>
    <t>Generic SSD1306 Module</t>
  </si>
  <si>
    <t>SSD1306-0.96-I2C</t>
  </si>
  <si>
    <t>https://www.adafruit.com/product/326</t>
  </si>
  <si>
    <t>https://cdn-shop.adafruit.com/datasheets/SSD1306.pdf</t>
  </si>
  <si>
    <t>Adafruit</t>
  </si>
  <si>
    <t>326</t>
  </si>
  <si>
    <t>J4</t>
  </si>
  <si>
    <t>1x4 Spare Header, 2.54 mm pitch</t>
  </si>
  <si>
    <t>Sullins Connector Solutions</t>
  </si>
  <si>
    <t>PPTC041LFBN-RC</t>
  </si>
  <si>
    <t>https://www.digikey.com/en/products/detail/sullins-connector-solutions/PPTC041LFBN-RC/810145</t>
  </si>
  <si>
    <t>https://sullinscorp.com/product/?pn=PPTC041LFBN-RC</t>
  </si>
  <si>
    <t>S7007-ND</t>
  </si>
  <si>
    <t>J5</t>
  </si>
  <si>
    <t>1x6 Program Header, 2.54 mm pitch</t>
  </si>
  <si>
    <t>PPTC061LFBN-RC</t>
  </si>
  <si>
    <t>https://www.digikey.com/en/products/detail/sullins-connector-solutions/PPTC061LFBN-RC/810161</t>
  </si>
  <si>
    <t>https://sullinscorp.com/product/?pn=PPTC061LFBN-RC</t>
  </si>
  <si>
    <t>S7017-ND</t>
  </si>
  <si>
    <t>J6</t>
  </si>
  <si>
    <t>1x10 Expansion Header, 2.54 mm pitch</t>
  </si>
  <si>
    <t>PPTC101LFBN-RC</t>
  </si>
  <si>
    <t>https://www.digikey.com/en/products/detail/sullins-connector-solutions/PPTC101LFBN-RC/810201</t>
  </si>
  <si>
    <t>https://sullinscorp.com/product/?pn=PPTC101LFBN-RC</t>
  </si>
  <si>
    <t>S7041-ND</t>
  </si>
  <si>
    <t>J7</t>
  </si>
  <si>
    <t>2.2 µH Shielded Power Inductor</t>
  </si>
  <si>
    <t>SRN4018-2R2M</t>
  </si>
  <si>
    <t>https://www.digikey.com/en/products/detail/bourns-inc/SRN4018-2R2M/6153832</t>
  </si>
  <si>
    <t>https://www.bourns.com/docs/product-datasheets/SRN4018.pdf</t>
  </si>
  <si>
    <t>SRN4018-2R2MCT-ND</t>
  </si>
  <si>
    <t>L1</t>
  </si>
  <si>
    <t>10 kΩ Thick Film Resistor, 0805 package</t>
  </si>
  <si>
    <t>RC0805JR-0710KL</t>
  </si>
  <si>
    <t>https://www.digikey.com/en/products/detail/yageo/RC0805JR-0710KL/727056</t>
  </si>
  <si>
    <t>https://www.yageo.com/upload/media/product/productsearch/datasheet/rchip/PYu-RC_Group_51_RoHS_L_11.pdf</t>
  </si>
  <si>
    <t>311-10.0KARCT-ND</t>
  </si>
  <si>
    <t>R1, R4, R5, R6, R7, R9</t>
  </si>
  <si>
    <t>4.7 kΩ Thick Film Resistor, 0805 package</t>
  </si>
  <si>
    <t>RC0805JR-074K7L</t>
  </si>
  <si>
    <t>https://www.digikey.com/en/products/detail/yageo/RC0805JR-074K7L/727046</t>
  </si>
  <si>
    <t>311-4.70KARCT-ND</t>
  </si>
  <si>
    <t>R2, R3</t>
  </si>
  <si>
    <t>330 Ω Thick Film Resistor, 0805 package</t>
  </si>
  <si>
    <t>RC0805JR-07330RL</t>
  </si>
  <si>
    <t>https://www.digikey.com/en/products/detail/yageo/RC0805JR-07330RL/727016</t>
  </si>
  <si>
    <t>311-330ARCT-ND</t>
  </si>
  <si>
    <t>R8</t>
  </si>
  <si>
    <t>Momentary Tactile Pushbutton Switch, SMT</t>
  </si>
  <si>
    <t>C&amp;K</t>
  </si>
  <si>
    <t>PTS645SM43SMTR92 LFS</t>
  </si>
  <si>
    <t>https://www.digikey.com/en/products/detail/c-k/PTS645SM43SMTR92-LFS/10071716</t>
  </si>
  <si>
    <t>https://www.ckswitches.com/media/1457/pts645.pdf</t>
  </si>
  <si>
    <t>CKN12384CT-ND</t>
  </si>
  <si>
    <t>SW1, SW2, SW3, SW4</t>
  </si>
  <si>
    <t>3.2 A Buck Regulator, fixed 3.3 V, SOT563</t>
  </si>
  <si>
    <t>Diodes Incorporated</t>
  </si>
  <si>
    <t>AP63203WU-7</t>
  </si>
  <si>
    <t>https://www.digikey.com/en/products/detail/diodes-incorporated/AP63203WU-7/12349279</t>
  </si>
  <si>
    <t>https://www.diodes.com/assets/Datasheets/AP63200-AP63201-AP63203-AP63205.pdf</t>
  </si>
  <si>
    <t>31-AP63203WU-7DICT-ND</t>
  </si>
  <si>
    <t>U1</t>
  </si>
  <si>
    <t>ESP32-S3-WROOM-1 Wi-Fi/Bluetooth Module</t>
  </si>
  <si>
    <t>Espressif Systems</t>
  </si>
  <si>
    <t>ESP32-S3-WROOM-1</t>
  </si>
  <si>
    <t>https://www.digikey.com/en/products/detail/espressif-systems/ESP32-S3-WROOM-1-N8R2/16162637</t>
  </si>
  <si>
    <t>https://www.espressif.com/sites/default/files/documentation/esp32-s3-wroom-1_wroom-1u_datasheet_en.pdf</t>
  </si>
  <si>
    <t>1965-ESP32-S3-WROOM-1-N8R2-ND</t>
  </si>
  <si>
    <t>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</si>
</sst>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0"/>
      <color rgb="FF000000"/>
      <name val="Arial"/>
    </font>
    <font>
      <b/>
      <sz val="24"/>
      <name val="Arial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3" fontId="3" fillId="0" borderId="0" xfId="0" applyNumberFormat="1" applyFont="1"/>
    <xf numFmtId="164" fontId="3" fillId="0" borderId="0" xfId="0" applyNumberFormat="1" applyFont="1"/>
    <xf numFmtId="14" fontId="3" fillId="0" borderId="0" xfId="0" applyNumberFormat="1" applyFont="1"/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1"/>
  <sheetViews>
    <sheetView tabSelected="1" workbookViewId="0">
      <selection sqref="A1:Q1"/>
    </sheetView>
  </sheetViews>
  <sheetFormatPr defaultColWidth="12.59765625" defaultRowHeight="15.75" customHeight="1" x14ac:dyDescent="0.35"/>
  <cols>
    <col min="1" max="1" width="47.3984375" customWidth="1"/>
    <col min="2" max="2" width="11.1328125" customWidth="1"/>
    <col min="3" max="3" width="16.1328125" customWidth="1"/>
    <col min="4" max="4" width="16.86328125" customWidth="1"/>
    <col min="5" max="5" width="17.1328125" customWidth="1"/>
    <col min="6" max="6" width="17.86328125" customWidth="1"/>
    <col min="7" max="7" width="15.06640625" bestFit="1" customWidth="1"/>
    <col min="8" max="10" width="16.1328125" customWidth="1"/>
    <col min="11" max="11" width="8.1328125" bestFit="1" customWidth="1"/>
    <col min="12" max="12" width="18.3984375" bestFit="1" customWidth="1"/>
    <col min="13" max="13" width="8.46484375" customWidth="1"/>
    <col min="14" max="14" width="11.1328125" customWidth="1"/>
    <col min="15" max="15" width="9.3984375" customWidth="1"/>
    <col min="16" max="16" width="6.86328125" customWidth="1"/>
    <col min="17" max="17" width="33.3984375" customWidth="1"/>
  </cols>
  <sheetData>
    <row r="1" spans="1:17" ht="20.65" customHeight="1" x14ac:dyDescent="0.35">
      <c r="A1" s="8" t="s">
        <v>0</v>
      </c>
      <c r="B1" s="9"/>
      <c r="C1" s="9"/>
      <c r="D1" s="9"/>
      <c r="E1" s="9"/>
      <c r="F1" s="9"/>
      <c r="G1" s="10"/>
      <c r="H1" s="10"/>
      <c r="I1" s="10"/>
      <c r="J1" s="10"/>
      <c r="K1" s="10"/>
      <c r="L1" s="10"/>
      <c r="M1" s="9"/>
      <c r="N1" s="9"/>
      <c r="O1" s="9"/>
      <c r="P1" s="9"/>
      <c r="Q1" s="10"/>
    </row>
    <row r="2" spans="1:17" ht="26.25" x14ac:dyDescent="0.3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</row>
    <row r="3" spans="1:17" ht="30" customHeight="1" x14ac:dyDescent="0.35">
      <c r="A3" s="7" t="s">
        <v>18</v>
      </c>
      <c r="B3" s="2">
        <v>2</v>
      </c>
      <c r="C3" s="3">
        <v>0.12</v>
      </c>
      <c r="D3" s="3">
        <f t="shared" ref="D3:D20" si="0">IF(OR(B3="",C3=""),"",B3*C3)</f>
        <v>0.24</v>
      </c>
      <c r="E3" s="3">
        <v>0.03</v>
      </c>
      <c r="F3" s="3">
        <f t="shared" ref="F3:F20" si="1">IF(OR(B3="",E3=""),"",B3*E3)</f>
        <v>0.06</v>
      </c>
      <c r="G3" s="7" t="s">
        <v>19</v>
      </c>
      <c r="H3" s="7" t="s">
        <v>20</v>
      </c>
      <c r="I3" s="7" t="s">
        <v>21</v>
      </c>
      <c r="J3" s="7" t="s">
        <v>22</v>
      </c>
      <c r="K3" s="7" t="s">
        <v>23</v>
      </c>
      <c r="L3" s="7" t="s">
        <v>24</v>
      </c>
      <c r="M3" s="1"/>
      <c r="N3" s="4"/>
      <c r="O3" s="1"/>
      <c r="P3" s="2" t="str">
        <f t="shared" ref="P3:P20" si="2">IF(OR(O3="",B3=""),"",O3-B3)</f>
        <v/>
      </c>
      <c r="Q3" s="7" t="s">
        <v>25</v>
      </c>
    </row>
    <row r="4" spans="1:17" ht="30" customHeight="1" x14ac:dyDescent="0.35">
      <c r="A4" s="7" t="s">
        <v>26</v>
      </c>
      <c r="B4" s="2">
        <v>1</v>
      </c>
      <c r="C4" s="3">
        <v>0.18</v>
      </c>
      <c r="D4" s="3">
        <f t="shared" si="0"/>
        <v>0.18</v>
      </c>
      <c r="E4" s="3">
        <v>0.06</v>
      </c>
      <c r="F4" s="3">
        <f t="shared" si="1"/>
        <v>0.06</v>
      </c>
      <c r="G4" s="7" t="s">
        <v>19</v>
      </c>
      <c r="H4" s="7" t="s">
        <v>27</v>
      </c>
      <c r="I4" s="7" t="s">
        <v>28</v>
      </c>
      <c r="J4" s="7" t="s">
        <v>29</v>
      </c>
      <c r="K4" s="7" t="s">
        <v>23</v>
      </c>
      <c r="L4" s="7" t="s">
        <v>30</v>
      </c>
      <c r="M4" s="1"/>
      <c r="N4" s="4"/>
      <c r="O4" s="1"/>
      <c r="P4" s="2" t="str">
        <f t="shared" si="2"/>
        <v/>
      </c>
      <c r="Q4" s="7" t="s">
        <v>31</v>
      </c>
    </row>
    <row r="5" spans="1:17" ht="30" customHeight="1" x14ac:dyDescent="0.35">
      <c r="A5" s="7" t="s">
        <v>32</v>
      </c>
      <c r="B5" s="2">
        <v>6</v>
      </c>
      <c r="C5" s="3">
        <v>0.02</v>
      </c>
      <c r="D5" s="3">
        <f t="shared" si="0"/>
        <v>0.12</v>
      </c>
      <c r="E5" s="3">
        <v>0.01</v>
      </c>
      <c r="F5" s="3">
        <f t="shared" si="1"/>
        <v>0.06</v>
      </c>
      <c r="G5" s="7" t="s">
        <v>33</v>
      </c>
      <c r="H5" s="7" t="s">
        <v>34</v>
      </c>
      <c r="I5" s="7" t="s">
        <v>35</v>
      </c>
      <c r="J5" s="7" t="s">
        <v>36</v>
      </c>
      <c r="K5" s="7" t="s">
        <v>23</v>
      </c>
      <c r="L5" s="7" t="s">
        <v>37</v>
      </c>
      <c r="M5" s="1"/>
      <c r="N5" s="4"/>
      <c r="O5" s="1"/>
      <c r="P5" s="2" t="str">
        <f t="shared" si="2"/>
        <v/>
      </c>
      <c r="Q5" s="7" t="s">
        <v>38</v>
      </c>
    </row>
    <row r="6" spans="1:17" ht="30" customHeight="1" x14ac:dyDescent="0.35">
      <c r="A6" s="7" t="s">
        <v>39</v>
      </c>
      <c r="B6" s="2">
        <v>1</v>
      </c>
      <c r="C6" s="3">
        <v>0.1</v>
      </c>
      <c r="D6" s="3">
        <f t="shared" si="0"/>
        <v>0.1</v>
      </c>
      <c r="E6" s="3">
        <v>0.03</v>
      </c>
      <c r="F6" s="3">
        <f t="shared" si="1"/>
        <v>0.03</v>
      </c>
      <c r="G6" s="7" t="s">
        <v>40</v>
      </c>
      <c r="H6" s="7" t="s">
        <v>41</v>
      </c>
      <c r="I6" s="7" t="s">
        <v>42</v>
      </c>
      <c r="J6" s="7" t="s">
        <v>43</v>
      </c>
      <c r="K6" s="7" t="s">
        <v>23</v>
      </c>
      <c r="L6" s="7" t="s">
        <v>44</v>
      </c>
      <c r="M6" s="1"/>
      <c r="N6" s="4"/>
      <c r="P6" s="2" t="str">
        <f t="shared" si="2"/>
        <v/>
      </c>
      <c r="Q6" s="7" t="s">
        <v>45</v>
      </c>
    </row>
    <row r="7" spans="1:17" ht="30" customHeight="1" x14ac:dyDescent="0.35">
      <c r="A7" s="7" t="s">
        <v>46</v>
      </c>
      <c r="B7" s="2">
        <v>1</v>
      </c>
      <c r="C7" s="3">
        <v>0.35</v>
      </c>
      <c r="D7" s="3">
        <f t="shared" si="0"/>
        <v>0.35</v>
      </c>
      <c r="E7" s="3">
        <v>0.18</v>
      </c>
      <c r="F7" s="3">
        <f t="shared" si="1"/>
        <v>0.18</v>
      </c>
      <c r="G7" s="7" t="s">
        <v>47</v>
      </c>
      <c r="H7" s="7" t="s">
        <v>48</v>
      </c>
      <c r="I7" s="7" t="s">
        <v>49</v>
      </c>
      <c r="J7" s="7" t="s">
        <v>50</v>
      </c>
      <c r="K7" s="7" t="s">
        <v>23</v>
      </c>
      <c r="L7" s="7" t="s">
        <v>51</v>
      </c>
      <c r="M7" s="1"/>
      <c r="N7" s="4"/>
      <c r="P7" s="2" t="str">
        <f t="shared" si="2"/>
        <v/>
      </c>
      <c r="Q7" s="7" t="s">
        <v>52</v>
      </c>
    </row>
    <row r="8" spans="1:17" ht="30" customHeight="1" x14ac:dyDescent="0.35">
      <c r="A8" s="7" t="s">
        <v>53</v>
      </c>
      <c r="B8" s="2">
        <v>1</v>
      </c>
      <c r="C8" s="3">
        <v>0.65</v>
      </c>
      <c r="D8" s="3">
        <f t="shared" si="0"/>
        <v>0.65</v>
      </c>
      <c r="E8" s="3">
        <v>0.28000000000000003</v>
      </c>
      <c r="F8" s="3">
        <f t="shared" si="1"/>
        <v>0.28000000000000003</v>
      </c>
      <c r="G8" s="7" t="s">
        <v>54</v>
      </c>
      <c r="H8" s="7" t="s">
        <v>55</v>
      </c>
      <c r="I8" s="7" t="s">
        <v>56</v>
      </c>
      <c r="J8" s="7" t="s">
        <v>57</v>
      </c>
      <c r="K8" s="7" t="s">
        <v>23</v>
      </c>
      <c r="L8" s="7" t="s">
        <v>58</v>
      </c>
      <c r="M8" s="1"/>
      <c r="N8" s="4"/>
      <c r="O8" s="1"/>
      <c r="P8" s="2" t="str">
        <f t="shared" si="2"/>
        <v/>
      </c>
      <c r="Q8" s="7" t="s">
        <v>59</v>
      </c>
    </row>
    <row r="9" spans="1:17" ht="30" customHeight="1" x14ac:dyDescent="0.35">
      <c r="A9" s="7" t="s">
        <v>60</v>
      </c>
      <c r="B9" s="2">
        <v>2</v>
      </c>
      <c r="C9" s="3">
        <v>0.85</v>
      </c>
      <c r="D9" s="3">
        <f t="shared" si="0"/>
        <v>1.7</v>
      </c>
      <c r="E9" s="3">
        <v>0.4</v>
      </c>
      <c r="F9" s="3">
        <f t="shared" si="1"/>
        <v>0.8</v>
      </c>
      <c r="G9" s="7" t="s">
        <v>61</v>
      </c>
      <c r="H9" s="7" t="s">
        <v>62</v>
      </c>
      <c r="I9" s="7" t="s">
        <v>63</v>
      </c>
      <c r="J9" s="7" t="s">
        <v>64</v>
      </c>
      <c r="K9" s="7" t="s">
        <v>23</v>
      </c>
      <c r="L9" s="7" t="s">
        <v>65</v>
      </c>
      <c r="M9" s="1"/>
      <c r="N9" s="4"/>
      <c r="O9" s="1"/>
      <c r="P9" s="2" t="str">
        <f t="shared" si="2"/>
        <v/>
      </c>
      <c r="Q9" s="7" t="s">
        <v>66</v>
      </c>
    </row>
    <row r="10" spans="1:17" ht="30" customHeight="1" x14ac:dyDescent="0.35">
      <c r="A10" s="5" t="s">
        <v>67</v>
      </c>
      <c r="B10" s="2">
        <v>1</v>
      </c>
      <c r="C10" s="3">
        <v>5</v>
      </c>
      <c r="D10" s="3">
        <f t="shared" si="0"/>
        <v>5</v>
      </c>
      <c r="E10" s="3">
        <v>3.5</v>
      </c>
      <c r="F10" s="3">
        <f t="shared" si="1"/>
        <v>3.5</v>
      </c>
      <c r="G10" s="5" t="s">
        <v>68</v>
      </c>
      <c r="H10" s="5" t="s">
        <v>69</v>
      </c>
      <c r="I10" s="5" t="s">
        <v>70</v>
      </c>
      <c r="J10" s="5" t="s">
        <v>71</v>
      </c>
      <c r="K10" s="5" t="s">
        <v>72</v>
      </c>
      <c r="L10" s="5" t="s">
        <v>73</v>
      </c>
      <c r="N10" s="4"/>
      <c r="P10" s="2" t="str">
        <f t="shared" si="2"/>
        <v/>
      </c>
      <c r="Q10" s="5" t="s">
        <v>74</v>
      </c>
    </row>
    <row r="11" spans="1:17" ht="30" customHeight="1" x14ac:dyDescent="0.35">
      <c r="A11" s="5" t="s">
        <v>75</v>
      </c>
      <c r="B11" s="2">
        <v>1</v>
      </c>
      <c r="C11" s="3">
        <v>0.1</v>
      </c>
      <c r="D11" s="3">
        <f t="shared" si="0"/>
        <v>0.1</v>
      </c>
      <c r="E11" s="3">
        <v>0.04</v>
      </c>
      <c r="F11" s="3">
        <f t="shared" si="1"/>
        <v>0.04</v>
      </c>
      <c r="G11" s="5" t="s">
        <v>76</v>
      </c>
      <c r="H11" s="5" t="s">
        <v>77</v>
      </c>
      <c r="I11" s="5" t="s">
        <v>78</v>
      </c>
      <c r="J11" s="5" t="s">
        <v>79</v>
      </c>
      <c r="K11" s="5" t="s">
        <v>23</v>
      </c>
      <c r="L11" s="5" t="s">
        <v>80</v>
      </c>
      <c r="N11" s="4"/>
      <c r="P11" s="2" t="str">
        <f t="shared" si="2"/>
        <v/>
      </c>
      <c r="Q11" s="5" t="s">
        <v>81</v>
      </c>
    </row>
    <row r="12" spans="1:17" ht="30" customHeight="1" x14ac:dyDescent="0.35">
      <c r="A12" s="5" t="s">
        <v>82</v>
      </c>
      <c r="B12" s="2">
        <v>1</v>
      </c>
      <c r="C12" s="3">
        <v>0.12</v>
      </c>
      <c r="D12" s="3">
        <f t="shared" si="0"/>
        <v>0.12</v>
      </c>
      <c r="E12" s="3">
        <v>0.05</v>
      </c>
      <c r="F12" s="3">
        <f t="shared" si="1"/>
        <v>0.05</v>
      </c>
      <c r="G12" s="5" t="s">
        <v>76</v>
      </c>
      <c r="H12" s="5" t="s">
        <v>83</v>
      </c>
      <c r="I12" s="5" t="s">
        <v>84</v>
      </c>
      <c r="J12" s="5" t="s">
        <v>85</v>
      </c>
      <c r="K12" s="5" t="s">
        <v>23</v>
      </c>
      <c r="L12" s="5" t="s">
        <v>86</v>
      </c>
      <c r="N12" s="4"/>
      <c r="P12" s="2" t="str">
        <f t="shared" si="2"/>
        <v/>
      </c>
      <c r="Q12" s="5" t="s">
        <v>87</v>
      </c>
    </row>
    <row r="13" spans="1:17" ht="30" customHeight="1" x14ac:dyDescent="0.35">
      <c r="A13" s="5" t="s">
        <v>88</v>
      </c>
      <c r="B13" s="2">
        <v>1</v>
      </c>
      <c r="C13" s="3">
        <v>0.18</v>
      </c>
      <c r="D13" s="3">
        <f t="shared" si="0"/>
        <v>0.18</v>
      </c>
      <c r="E13" s="3">
        <v>7.0000000000000007E-2</v>
      </c>
      <c r="F13" s="3">
        <f t="shared" si="1"/>
        <v>7.0000000000000007E-2</v>
      </c>
      <c r="G13" s="5" t="s">
        <v>76</v>
      </c>
      <c r="H13" s="5" t="s">
        <v>89</v>
      </c>
      <c r="I13" s="5" t="s">
        <v>90</v>
      </c>
      <c r="J13" s="5" t="s">
        <v>91</v>
      </c>
      <c r="K13" s="5" t="s">
        <v>23</v>
      </c>
      <c r="L13" s="5" t="s">
        <v>92</v>
      </c>
      <c r="N13" s="4"/>
      <c r="P13" s="2" t="str">
        <f t="shared" si="2"/>
        <v/>
      </c>
      <c r="Q13" s="5" t="s">
        <v>93</v>
      </c>
    </row>
    <row r="14" spans="1:17" ht="30" customHeight="1" x14ac:dyDescent="0.35">
      <c r="A14" s="5" t="s">
        <v>94</v>
      </c>
      <c r="B14" s="2">
        <v>1</v>
      </c>
      <c r="C14" s="3">
        <v>0.45</v>
      </c>
      <c r="D14" s="3">
        <f t="shared" si="0"/>
        <v>0.45</v>
      </c>
      <c r="E14" s="3">
        <v>0.19</v>
      </c>
      <c r="F14" s="3">
        <f t="shared" si="1"/>
        <v>0.19</v>
      </c>
      <c r="G14" s="5" t="s">
        <v>47</v>
      </c>
      <c r="H14" s="5" t="s">
        <v>95</v>
      </c>
      <c r="I14" s="5" t="s">
        <v>96</v>
      </c>
      <c r="J14" s="5" t="s">
        <v>97</v>
      </c>
      <c r="K14" s="5" t="s">
        <v>23</v>
      </c>
      <c r="L14" s="5" t="s">
        <v>98</v>
      </c>
      <c r="N14" s="4"/>
      <c r="P14" s="2" t="str">
        <f t="shared" si="2"/>
        <v/>
      </c>
      <c r="Q14" s="5" t="s">
        <v>99</v>
      </c>
    </row>
    <row r="15" spans="1:17" ht="30" customHeight="1" x14ac:dyDescent="0.35">
      <c r="A15" s="5" t="s">
        <v>100</v>
      </c>
      <c r="B15" s="2">
        <v>6</v>
      </c>
      <c r="C15" s="3">
        <v>0.01</v>
      </c>
      <c r="D15" s="3">
        <f t="shared" si="0"/>
        <v>0.06</v>
      </c>
      <c r="E15" s="3">
        <v>3.0000000000000001E-3</v>
      </c>
      <c r="F15" s="3">
        <f t="shared" si="1"/>
        <v>1.8000000000000002E-2</v>
      </c>
      <c r="G15" s="5" t="s">
        <v>33</v>
      </c>
      <c r="H15" s="5" t="s">
        <v>101</v>
      </c>
      <c r="I15" s="5" t="s">
        <v>102</v>
      </c>
      <c r="J15" s="5" t="s">
        <v>103</v>
      </c>
      <c r="K15" s="5" t="s">
        <v>23</v>
      </c>
      <c r="L15" s="5" t="s">
        <v>104</v>
      </c>
      <c r="N15" s="4"/>
      <c r="P15" s="2" t="str">
        <f t="shared" si="2"/>
        <v/>
      </c>
      <c r="Q15" s="5" t="s">
        <v>105</v>
      </c>
    </row>
    <row r="16" spans="1:17" ht="30" customHeight="1" x14ac:dyDescent="0.35">
      <c r="A16" s="5" t="s">
        <v>106</v>
      </c>
      <c r="B16" s="2">
        <v>2</v>
      </c>
      <c r="C16" s="3">
        <v>0.01</v>
      </c>
      <c r="D16" s="3">
        <f t="shared" si="0"/>
        <v>0.02</v>
      </c>
      <c r="E16" s="3">
        <v>3.0000000000000001E-3</v>
      </c>
      <c r="F16" s="3">
        <f t="shared" si="1"/>
        <v>6.0000000000000001E-3</v>
      </c>
      <c r="G16" s="5" t="s">
        <v>33</v>
      </c>
      <c r="H16" s="5" t="s">
        <v>107</v>
      </c>
      <c r="I16" s="5" t="s">
        <v>108</v>
      </c>
      <c r="J16" s="5" t="s">
        <v>103</v>
      </c>
      <c r="K16" s="5" t="s">
        <v>23</v>
      </c>
      <c r="L16" s="5" t="s">
        <v>109</v>
      </c>
      <c r="N16" s="4"/>
      <c r="P16" s="2" t="str">
        <f t="shared" si="2"/>
        <v/>
      </c>
      <c r="Q16" s="5" t="s">
        <v>110</v>
      </c>
    </row>
    <row r="17" spans="1:17" ht="30" customHeight="1" x14ac:dyDescent="0.35">
      <c r="A17" s="5" t="s">
        <v>111</v>
      </c>
      <c r="B17" s="2">
        <v>1</v>
      </c>
      <c r="C17" s="3">
        <v>0.01</v>
      </c>
      <c r="D17" s="3">
        <f t="shared" si="0"/>
        <v>0.01</v>
      </c>
      <c r="E17" s="3">
        <v>3.0000000000000001E-3</v>
      </c>
      <c r="F17" s="3">
        <f t="shared" si="1"/>
        <v>3.0000000000000001E-3</v>
      </c>
      <c r="G17" s="5" t="s">
        <v>33</v>
      </c>
      <c r="H17" s="5" t="s">
        <v>112</v>
      </c>
      <c r="I17" s="5" t="s">
        <v>113</v>
      </c>
      <c r="J17" s="5" t="s">
        <v>103</v>
      </c>
      <c r="K17" s="5" t="s">
        <v>23</v>
      </c>
      <c r="L17" s="5" t="s">
        <v>114</v>
      </c>
      <c r="N17" s="4"/>
      <c r="P17" s="2" t="str">
        <f t="shared" si="2"/>
        <v/>
      </c>
      <c r="Q17" s="5" t="s">
        <v>115</v>
      </c>
    </row>
    <row r="18" spans="1:17" ht="30" customHeight="1" x14ac:dyDescent="0.35">
      <c r="A18" s="5" t="s">
        <v>116</v>
      </c>
      <c r="B18" s="2">
        <v>4</v>
      </c>
      <c r="C18" s="3">
        <v>0.2</v>
      </c>
      <c r="D18" s="3">
        <f t="shared" si="0"/>
        <v>0.8</v>
      </c>
      <c r="E18" s="3">
        <v>0.09</v>
      </c>
      <c r="F18" s="3">
        <f t="shared" si="1"/>
        <v>0.36</v>
      </c>
      <c r="G18" s="5" t="s">
        <v>117</v>
      </c>
      <c r="H18" s="5" t="s">
        <v>118</v>
      </c>
      <c r="I18" s="5" t="s">
        <v>119</v>
      </c>
      <c r="J18" s="5" t="s">
        <v>120</v>
      </c>
      <c r="K18" s="5" t="s">
        <v>23</v>
      </c>
      <c r="L18" s="5" t="s">
        <v>121</v>
      </c>
      <c r="N18" s="4"/>
      <c r="P18" s="2" t="str">
        <f t="shared" si="2"/>
        <v/>
      </c>
      <c r="Q18" s="5" t="s">
        <v>122</v>
      </c>
    </row>
    <row r="19" spans="1:17" ht="30" customHeight="1" x14ac:dyDescent="0.35">
      <c r="A19" s="5" t="s">
        <v>123</v>
      </c>
      <c r="B19" s="2">
        <v>1</v>
      </c>
      <c r="C19" s="3">
        <v>0.9</v>
      </c>
      <c r="D19" s="3">
        <f t="shared" si="0"/>
        <v>0.9</v>
      </c>
      <c r="E19" s="3">
        <v>0.42</v>
      </c>
      <c r="F19" s="3">
        <f t="shared" si="1"/>
        <v>0.42</v>
      </c>
      <c r="G19" s="5" t="s">
        <v>124</v>
      </c>
      <c r="H19" s="5" t="s">
        <v>125</v>
      </c>
      <c r="I19" s="5" t="s">
        <v>126</v>
      </c>
      <c r="J19" s="5" t="s">
        <v>127</v>
      </c>
      <c r="K19" s="5" t="s">
        <v>23</v>
      </c>
      <c r="L19" s="5" t="s">
        <v>128</v>
      </c>
      <c r="N19" s="4"/>
      <c r="P19" s="2" t="str">
        <f t="shared" si="2"/>
        <v/>
      </c>
      <c r="Q19" s="5" t="s">
        <v>129</v>
      </c>
    </row>
    <row r="20" spans="1:17" ht="30" customHeight="1" x14ac:dyDescent="0.35">
      <c r="A20" s="5" t="s">
        <v>130</v>
      </c>
      <c r="B20" s="2">
        <v>1</v>
      </c>
      <c r="C20" s="3">
        <v>6</v>
      </c>
      <c r="D20" s="3">
        <f t="shared" si="0"/>
        <v>6</v>
      </c>
      <c r="E20" s="3">
        <v>3.2</v>
      </c>
      <c r="F20" s="3">
        <f t="shared" si="1"/>
        <v>3.2</v>
      </c>
      <c r="G20" s="5" t="s">
        <v>131</v>
      </c>
      <c r="H20" s="5" t="s">
        <v>132</v>
      </c>
      <c r="I20" s="5" t="s">
        <v>133</v>
      </c>
      <c r="J20" s="5" t="s">
        <v>134</v>
      </c>
      <c r="K20" s="5" t="s">
        <v>23</v>
      </c>
      <c r="L20" s="5" t="s">
        <v>135</v>
      </c>
      <c r="N20" s="4"/>
      <c r="P20" s="2" t="str">
        <f t="shared" si="2"/>
        <v/>
      </c>
      <c r="Q20" s="5" t="s">
        <v>136</v>
      </c>
    </row>
    <row r="21" spans="1:17" ht="15.75" customHeight="1" x14ac:dyDescent="0.35">
      <c r="B21" s="2"/>
      <c r="C21" s="3"/>
      <c r="D21" s="3"/>
      <c r="E21" s="3"/>
      <c r="F21" s="3"/>
      <c r="N21" s="4"/>
      <c r="P21" s="2"/>
    </row>
    <row r="22" spans="1:17" ht="15.75" customHeight="1" x14ac:dyDescent="0.35">
      <c r="B22" s="2"/>
      <c r="C22" s="3"/>
      <c r="D22" s="3"/>
      <c r="E22" s="3"/>
      <c r="F22" s="3"/>
      <c r="N22" s="4"/>
      <c r="P22" s="2"/>
    </row>
    <row r="23" spans="1:17" ht="15.75" customHeight="1" x14ac:dyDescent="0.35">
      <c r="B23" s="2"/>
      <c r="C23" s="3"/>
      <c r="D23" s="3"/>
      <c r="E23" s="3"/>
      <c r="F23" s="3"/>
      <c r="N23" s="4"/>
      <c r="P23" s="2"/>
    </row>
    <row r="24" spans="1:17" ht="15.75" customHeight="1" x14ac:dyDescent="0.35">
      <c r="B24" s="2"/>
      <c r="C24" s="3"/>
      <c r="D24" s="3"/>
      <c r="E24" s="3"/>
      <c r="F24" s="3"/>
      <c r="N24" s="4"/>
      <c r="P24" s="2"/>
    </row>
    <row r="25" spans="1:17" ht="15.75" customHeight="1" x14ac:dyDescent="0.35">
      <c r="B25" s="2"/>
      <c r="C25" s="3"/>
      <c r="D25" s="3"/>
      <c r="E25" s="3"/>
      <c r="F25" s="3"/>
      <c r="N25" s="4"/>
      <c r="P25" s="2"/>
    </row>
    <row r="26" spans="1:17" ht="15.75" customHeight="1" x14ac:dyDescent="0.35">
      <c r="B26" s="2"/>
      <c r="C26" s="3"/>
      <c r="D26" s="3"/>
      <c r="E26" s="3"/>
      <c r="F26" s="3"/>
      <c r="N26" s="4"/>
      <c r="P26" s="2"/>
    </row>
    <row r="27" spans="1:17" ht="15.75" customHeight="1" x14ac:dyDescent="0.35">
      <c r="B27" s="2"/>
      <c r="C27" s="3"/>
      <c r="D27" s="3"/>
      <c r="E27" s="3"/>
      <c r="F27" s="3"/>
      <c r="N27" s="4"/>
      <c r="P27" s="2"/>
    </row>
    <row r="28" spans="1:17" ht="15.75" customHeight="1" x14ac:dyDescent="0.35">
      <c r="B28" s="2"/>
      <c r="C28" s="3"/>
      <c r="D28" s="3"/>
      <c r="E28" s="3"/>
      <c r="F28" s="3"/>
      <c r="N28" s="4"/>
      <c r="P28" s="2"/>
    </row>
    <row r="29" spans="1:17" ht="12.75" customHeight="1" x14ac:dyDescent="0.35">
      <c r="B29" s="2"/>
      <c r="C29" s="3"/>
      <c r="D29" s="3"/>
      <c r="E29" s="3"/>
      <c r="F29" s="3"/>
      <c r="N29" s="4"/>
      <c r="P29" s="2"/>
    </row>
    <row r="30" spans="1:17" ht="12.75" customHeight="1" x14ac:dyDescent="0.35">
      <c r="B30" s="2"/>
      <c r="C30" s="3"/>
      <c r="D30" s="3"/>
      <c r="E30" s="3"/>
      <c r="F30" s="3"/>
      <c r="N30" s="4"/>
      <c r="P30" s="2"/>
    </row>
    <row r="31" spans="1:17" ht="12.75" customHeight="1" x14ac:dyDescent="0.35">
      <c r="B31" s="2"/>
      <c r="C31" s="3"/>
      <c r="D31" s="3"/>
      <c r="E31" s="3"/>
      <c r="F31" s="3"/>
      <c r="N31" s="4"/>
      <c r="P31" s="2"/>
    </row>
    <row r="32" spans="1:17" ht="12.75" customHeight="1" x14ac:dyDescent="0.35">
      <c r="B32" s="2"/>
      <c r="C32" s="3"/>
      <c r="D32" s="3"/>
      <c r="E32" s="3"/>
      <c r="F32" s="3"/>
      <c r="N32" s="4"/>
      <c r="P32" s="2"/>
    </row>
    <row r="33" spans="2:16" ht="12.75" customHeight="1" x14ac:dyDescent="0.35">
      <c r="B33" s="2"/>
      <c r="C33" s="3"/>
      <c r="D33" s="3"/>
      <c r="E33" s="3"/>
      <c r="F33" s="3"/>
      <c r="N33" s="4"/>
      <c r="P33" s="2"/>
    </row>
    <row r="34" spans="2:16" ht="12.75" customHeight="1" x14ac:dyDescent="0.35">
      <c r="B34" s="2"/>
      <c r="C34" s="3"/>
      <c r="D34" s="3"/>
      <c r="E34" s="3"/>
      <c r="F34" s="3"/>
      <c r="N34" s="4"/>
      <c r="P34" s="2"/>
    </row>
    <row r="35" spans="2:16" ht="12.75" customHeight="1" x14ac:dyDescent="0.35">
      <c r="B35" s="2"/>
      <c r="C35" s="3"/>
      <c r="D35" s="3"/>
      <c r="E35" s="3"/>
      <c r="F35" s="3"/>
      <c r="N35" s="4"/>
      <c r="P35" s="2"/>
    </row>
    <row r="36" spans="2:16" ht="12.75" customHeight="1" x14ac:dyDescent="0.35">
      <c r="B36" s="2"/>
      <c r="C36" s="3"/>
      <c r="D36" s="3"/>
      <c r="E36" s="3"/>
      <c r="F36" s="3"/>
      <c r="N36" s="4"/>
      <c r="P36" s="2"/>
    </row>
    <row r="37" spans="2:16" ht="12.75" customHeight="1" x14ac:dyDescent="0.35">
      <c r="B37" s="2"/>
      <c r="C37" s="3"/>
      <c r="D37" s="3"/>
      <c r="E37" s="3"/>
      <c r="F37" s="3"/>
      <c r="N37" s="4"/>
      <c r="P37" s="2"/>
    </row>
    <row r="38" spans="2:16" ht="12.75" customHeight="1" x14ac:dyDescent="0.35">
      <c r="B38" s="2"/>
      <c r="C38" s="3"/>
      <c r="D38" s="3"/>
      <c r="E38" s="3"/>
      <c r="F38" s="3"/>
      <c r="N38" s="4"/>
      <c r="P38" s="2"/>
    </row>
    <row r="39" spans="2:16" ht="12.75" customHeight="1" x14ac:dyDescent="0.35">
      <c r="B39" s="2"/>
      <c r="C39" s="3"/>
      <c r="D39" s="3"/>
      <c r="E39" s="3"/>
      <c r="F39" s="3"/>
      <c r="N39" s="4"/>
      <c r="P39" s="2"/>
    </row>
    <row r="40" spans="2:16" ht="12.75" customHeight="1" x14ac:dyDescent="0.35">
      <c r="B40" s="2"/>
      <c r="C40" s="3"/>
      <c r="D40" s="3"/>
      <c r="E40" s="3"/>
      <c r="F40" s="3"/>
      <c r="N40" s="4"/>
      <c r="P40" s="2"/>
    </row>
    <row r="41" spans="2:16" ht="12.75" customHeight="1" x14ac:dyDescent="0.35">
      <c r="B41" s="2"/>
      <c r="C41" s="3"/>
      <c r="D41" s="3"/>
      <c r="E41" s="3"/>
      <c r="F41" s="3"/>
      <c r="N41" s="4"/>
      <c r="P41" s="2"/>
    </row>
    <row r="42" spans="2:16" ht="12.75" customHeight="1" x14ac:dyDescent="0.35">
      <c r="B42" s="2"/>
      <c r="C42" s="3"/>
      <c r="D42" s="3"/>
      <c r="E42" s="3"/>
      <c r="F42" s="3"/>
      <c r="N42" s="4"/>
      <c r="P42" s="2"/>
    </row>
    <row r="43" spans="2:16" ht="12.75" customHeight="1" x14ac:dyDescent="0.35">
      <c r="B43" s="2"/>
      <c r="C43" s="3"/>
      <c r="D43" s="3"/>
      <c r="E43" s="3"/>
      <c r="F43" s="3"/>
      <c r="N43" s="4"/>
      <c r="P43" s="2"/>
    </row>
    <row r="44" spans="2:16" ht="12.75" customHeight="1" x14ac:dyDescent="0.35">
      <c r="B44" s="2"/>
      <c r="C44" s="3"/>
      <c r="D44" s="3"/>
      <c r="E44" s="3"/>
      <c r="F44" s="3"/>
      <c r="N44" s="4"/>
      <c r="P44" s="2"/>
    </row>
    <row r="45" spans="2:16" ht="12.75" customHeight="1" x14ac:dyDescent="0.35">
      <c r="B45" s="2"/>
      <c r="C45" s="3"/>
      <c r="D45" s="3"/>
      <c r="E45" s="3"/>
      <c r="F45" s="3"/>
      <c r="N45" s="4"/>
      <c r="P45" s="2"/>
    </row>
    <row r="46" spans="2:16" ht="12.75" customHeight="1" x14ac:dyDescent="0.35">
      <c r="B46" s="2"/>
      <c r="C46" s="3"/>
      <c r="D46" s="3"/>
      <c r="E46" s="3"/>
      <c r="F46" s="3"/>
      <c r="N46" s="4"/>
      <c r="P46" s="2"/>
    </row>
    <row r="47" spans="2:16" ht="12.75" customHeight="1" x14ac:dyDescent="0.35">
      <c r="B47" s="2"/>
      <c r="C47" s="3"/>
      <c r="D47" s="3"/>
      <c r="E47" s="3"/>
      <c r="F47" s="3"/>
      <c r="N47" s="4"/>
      <c r="P47" s="2"/>
    </row>
    <row r="48" spans="2:16" ht="12.75" customHeight="1" x14ac:dyDescent="0.35">
      <c r="B48" s="2"/>
      <c r="C48" s="3"/>
      <c r="D48" s="3"/>
      <c r="E48" s="3"/>
      <c r="F48" s="3"/>
      <c r="N48" s="4"/>
      <c r="P48" s="2"/>
    </row>
    <row r="49" spans="2:16" ht="12.75" customHeight="1" x14ac:dyDescent="0.35">
      <c r="B49" s="2"/>
      <c r="C49" s="3"/>
      <c r="D49" s="3"/>
      <c r="E49" s="3"/>
      <c r="F49" s="3"/>
      <c r="N49" s="4"/>
      <c r="P49" s="2"/>
    </row>
    <row r="50" spans="2:16" ht="12.75" customHeight="1" x14ac:dyDescent="0.35">
      <c r="B50" s="2"/>
      <c r="C50" s="3"/>
      <c r="D50" s="3"/>
      <c r="E50" s="3"/>
      <c r="F50" s="3"/>
      <c r="N50" s="4"/>
      <c r="P50" s="2"/>
    </row>
    <row r="51" spans="2:16" ht="12.75" customHeight="1" x14ac:dyDescent="0.35">
      <c r="B51" s="2"/>
      <c r="C51" s="3"/>
      <c r="D51" s="3"/>
      <c r="E51" s="3"/>
      <c r="F51" s="3"/>
      <c r="N51" s="4"/>
      <c r="P51" s="2"/>
    </row>
    <row r="52" spans="2:16" ht="12.75" customHeight="1" x14ac:dyDescent="0.35">
      <c r="B52" s="2"/>
      <c r="C52" s="3"/>
      <c r="D52" s="3"/>
      <c r="E52" s="3"/>
      <c r="F52" s="3"/>
      <c r="N52" s="4"/>
      <c r="P52" s="2"/>
    </row>
    <row r="53" spans="2:16" ht="12.75" customHeight="1" x14ac:dyDescent="0.35">
      <c r="B53" s="2"/>
      <c r="C53" s="3"/>
      <c r="D53" s="3"/>
      <c r="E53" s="3"/>
      <c r="F53" s="3"/>
      <c r="N53" s="4"/>
      <c r="P53" s="2"/>
    </row>
    <row r="54" spans="2:16" ht="12.75" customHeight="1" x14ac:dyDescent="0.35">
      <c r="B54" s="2"/>
      <c r="C54" s="3"/>
      <c r="D54" s="3"/>
      <c r="E54" s="3"/>
      <c r="F54" s="3"/>
      <c r="N54" s="4"/>
      <c r="P54" s="2"/>
    </row>
    <row r="55" spans="2:16" ht="12.75" customHeight="1" x14ac:dyDescent="0.35">
      <c r="B55" s="2"/>
      <c r="C55" s="3"/>
      <c r="D55" s="3"/>
      <c r="E55" s="3"/>
      <c r="F55" s="3"/>
      <c r="N55" s="4"/>
      <c r="P55" s="2"/>
    </row>
    <row r="56" spans="2:16" ht="12.75" customHeight="1" x14ac:dyDescent="0.35">
      <c r="B56" s="2"/>
      <c r="C56" s="3"/>
      <c r="D56" s="3"/>
      <c r="E56" s="3"/>
      <c r="F56" s="3"/>
      <c r="N56" s="4"/>
      <c r="P56" s="2"/>
    </row>
    <row r="57" spans="2:16" ht="12.75" customHeight="1" x14ac:dyDescent="0.35">
      <c r="B57" s="2"/>
      <c r="C57" s="3"/>
      <c r="D57" s="3"/>
      <c r="E57" s="3"/>
      <c r="F57" s="3"/>
      <c r="N57" s="4"/>
      <c r="P57" s="2"/>
    </row>
    <row r="58" spans="2:16" ht="12.75" customHeight="1" x14ac:dyDescent="0.35">
      <c r="B58" s="2"/>
      <c r="C58" s="3"/>
      <c r="D58" s="3"/>
      <c r="E58" s="3"/>
      <c r="F58" s="3"/>
      <c r="N58" s="4"/>
      <c r="P58" s="2"/>
    </row>
    <row r="59" spans="2:16" ht="12.75" customHeight="1" x14ac:dyDescent="0.35">
      <c r="B59" s="2"/>
      <c r="C59" s="3"/>
      <c r="D59" s="3"/>
      <c r="E59" s="3"/>
      <c r="F59" s="3"/>
      <c r="N59" s="4"/>
      <c r="P59" s="2"/>
    </row>
    <row r="60" spans="2:16" ht="12.75" customHeight="1" x14ac:dyDescent="0.35">
      <c r="B60" s="2"/>
      <c r="C60" s="3"/>
      <c r="D60" s="3"/>
      <c r="E60" s="3"/>
      <c r="F60" s="3"/>
      <c r="N60" s="4"/>
      <c r="P60" s="2"/>
    </row>
    <row r="61" spans="2:16" ht="12.75" customHeight="1" x14ac:dyDescent="0.35">
      <c r="B61" s="2"/>
      <c r="C61" s="3"/>
      <c r="D61" s="3"/>
      <c r="E61" s="3"/>
      <c r="F61" s="3"/>
      <c r="N61" s="4"/>
      <c r="P61" s="2"/>
    </row>
    <row r="62" spans="2:16" ht="12.75" customHeight="1" x14ac:dyDescent="0.35">
      <c r="B62" s="2"/>
      <c r="C62" s="3"/>
      <c r="D62" s="3"/>
      <c r="E62" s="3"/>
      <c r="F62" s="3"/>
      <c r="N62" s="4"/>
      <c r="P62" s="2"/>
    </row>
    <row r="63" spans="2:16" ht="12.75" customHeight="1" x14ac:dyDescent="0.35">
      <c r="B63" s="2"/>
      <c r="C63" s="3"/>
      <c r="D63" s="3"/>
      <c r="E63" s="3"/>
      <c r="F63" s="3"/>
      <c r="N63" s="4"/>
      <c r="P63" s="2"/>
    </row>
    <row r="64" spans="2:16" ht="12.75" customHeight="1" x14ac:dyDescent="0.35">
      <c r="B64" s="2"/>
      <c r="C64" s="3"/>
      <c r="D64" s="3"/>
      <c r="E64" s="3"/>
      <c r="F64" s="3"/>
      <c r="N64" s="4"/>
      <c r="P64" s="2"/>
    </row>
    <row r="65" spans="2:16" ht="12.75" customHeight="1" x14ac:dyDescent="0.35">
      <c r="B65" s="2"/>
      <c r="C65" s="3"/>
      <c r="D65" s="3"/>
      <c r="E65" s="3"/>
      <c r="F65" s="3"/>
      <c r="N65" s="4"/>
      <c r="P65" s="2"/>
    </row>
    <row r="66" spans="2:16" ht="12.75" customHeight="1" x14ac:dyDescent="0.35">
      <c r="B66" s="2"/>
      <c r="C66" s="3"/>
      <c r="D66" s="3"/>
      <c r="E66" s="3"/>
      <c r="F66" s="3"/>
      <c r="N66" s="4"/>
      <c r="P66" s="2"/>
    </row>
    <row r="67" spans="2:16" ht="12.75" customHeight="1" x14ac:dyDescent="0.35">
      <c r="B67" s="2"/>
      <c r="C67" s="3"/>
      <c r="D67" s="3"/>
      <c r="E67" s="3"/>
      <c r="F67" s="3"/>
      <c r="N67" s="4"/>
      <c r="P67" s="2"/>
    </row>
    <row r="68" spans="2:16" ht="12.75" customHeight="1" x14ac:dyDescent="0.35">
      <c r="B68" s="2"/>
      <c r="C68" s="3"/>
      <c r="D68" s="3"/>
      <c r="E68" s="3"/>
      <c r="F68" s="3"/>
      <c r="N68" s="4"/>
      <c r="P68" s="2"/>
    </row>
    <row r="69" spans="2:16" ht="12.75" customHeight="1" x14ac:dyDescent="0.35">
      <c r="B69" s="2"/>
      <c r="C69" s="3"/>
      <c r="D69" s="3"/>
      <c r="E69" s="3"/>
      <c r="F69" s="3"/>
      <c r="N69" s="4"/>
      <c r="P69" s="2"/>
    </row>
    <row r="70" spans="2:16" ht="12.75" customHeight="1" x14ac:dyDescent="0.35">
      <c r="B70" s="2"/>
      <c r="C70" s="3"/>
      <c r="D70" s="3"/>
      <c r="E70" s="3"/>
      <c r="F70" s="3"/>
      <c r="N70" s="4"/>
      <c r="P70" s="2"/>
    </row>
    <row r="71" spans="2:16" ht="12.75" customHeight="1" x14ac:dyDescent="0.35">
      <c r="B71" s="2"/>
      <c r="C71" s="3"/>
      <c r="D71" s="3"/>
      <c r="E71" s="3"/>
      <c r="F71" s="3"/>
      <c r="N71" s="4"/>
      <c r="P71" s="2"/>
    </row>
    <row r="72" spans="2:16" ht="12.75" customHeight="1" x14ac:dyDescent="0.35">
      <c r="B72" s="2"/>
      <c r="C72" s="3"/>
      <c r="D72" s="3"/>
      <c r="E72" s="3"/>
      <c r="F72" s="3"/>
      <c r="N72" s="4"/>
      <c r="P72" s="2"/>
    </row>
    <row r="73" spans="2:16" ht="12.75" customHeight="1" x14ac:dyDescent="0.35">
      <c r="B73" s="2"/>
      <c r="C73" s="3"/>
      <c r="D73" s="3"/>
      <c r="E73" s="3"/>
      <c r="F73" s="3"/>
      <c r="N73" s="4"/>
      <c r="P73" s="2"/>
    </row>
    <row r="74" spans="2:16" ht="12.75" customHeight="1" x14ac:dyDescent="0.35">
      <c r="B74" s="2"/>
      <c r="C74" s="3"/>
      <c r="D74" s="3"/>
      <c r="E74" s="3"/>
      <c r="F74" s="3"/>
      <c r="N74" s="4"/>
      <c r="P74" s="2"/>
    </row>
    <row r="75" spans="2:16" ht="12.75" customHeight="1" x14ac:dyDescent="0.35">
      <c r="B75" s="2"/>
      <c r="C75" s="3"/>
      <c r="D75" s="3"/>
      <c r="E75" s="3"/>
      <c r="F75" s="3"/>
      <c r="N75" s="4"/>
      <c r="P75" s="2"/>
    </row>
    <row r="76" spans="2:16" ht="12.75" customHeight="1" x14ac:dyDescent="0.35">
      <c r="B76" s="2"/>
      <c r="C76" s="3"/>
      <c r="D76" s="3"/>
      <c r="E76" s="3"/>
      <c r="F76" s="3"/>
      <c r="N76" s="4"/>
      <c r="P76" s="2"/>
    </row>
    <row r="77" spans="2:16" ht="12.75" customHeight="1" x14ac:dyDescent="0.35">
      <c r="B77" s="2"/>
      <c r="C77" s="3"/>
      <c r="D77" s="3"/>
      <c r="E77" s="3"/>
      <c r="F77" s="3"/>
      <c r="N77" s="4"/>
      <c r="P77" s="2"/>
    </row>
    <row r="78" spans="2:16" ht="12.75" customHeight="1" x14ac:dyDescent="0.35">
      <c r="B78" s="2"/>
      <c r="C78" s="3"/>
      <c r="D78" s="3"/>
      <c r="E78" s="3"/>
      <c r="F78" s="3"/>
      <c r="N78" s="4"/>
      <c r="P78" s="2"/>
    </row>
    <row r="79" spans="2:16" ht="12.75" customHeight="1" x14ac:dyDescent="0.35">
      <c r="B79" s="2"/>
      <c r="C79" s="3"/>
      <c r="D79" s="3"/>
      <c r="E79" s="3"/>
      <c r="F79" s="3"/>
      <c r="N79" s="4"/>
      <c r="P79" s="2"/>
    </row>
    <row r="80" spans="2:16" ht="12.75" customHeight="1" x14ac:dyDescent="0.35">
      <c r="B80" s="2"/>
      <c r="C80" s="3"/>
      <c r="D80" s="3"/>
      <c r="E80" s="3"/>
      <c r="F80" s="3"/>
      <c r="N80" s="4"/>
      <c r="P80" s="2"/>
    </row>
    <row r="81" spans="2:16" ht="12.75" customHeight="1" x14ac:dyDescent="0.35">
      <c r="B81" s="2"/>
      <c r="C81" s="3"/>
      <c r="D81" s="3"/>
      <c r="E81" s="3"/>
      <c r="F81" s="3"/>
      <c r="N81" s="4"/>
      <c r="P81" s="2"/>
    </row>
    <row r="82" spans="2:16" ht="12.75" customHeight="1" x14ac:dyDescent="0.35">
      <c r="B82" s="2"/>
      <c r="C82" s="3"/>
      <c r="D82" s="3"/>
      <c r="E82" s="3"/>
      <c r="F82" s="3"/>
      <c r="N82" s="4"/>
      <c r="P82" s="2"/>
    </row>
    <row r="83" spans="2:16" ht="12.75" customHeight="1" x14ac:dyDescent="0.35">
      <c r="B83" s="2"/>
      <c r="C83" s="3"/>
      <c r="D83" s="3"/>
      <c r="E83" s="3"/>
      <c r="F83" s="3"/>
      <c r="N83" s="4"/>
      <c r="P83" s="2"/>
    </row>
    <row r="84" spans="2:16" ht="12.75" customHeight="1" x14ac:dyDescent="0.35">
      <c r="B84" s="2"/>
      <c r="C84" s="3"/>
      <c r="D84" s="3"/>
      <c r="E84" s="3"/>
      <c r="F84" s="3"/>
      <c r="N84" s="4"/>
      <c r="P84" s="2"/>
    </row>
    <row r="85" spans="2:16" ht="12.75" customHeight="1" x14ac:dyDescent="0.35">
      <c r="B85" s="2"/>
      <c r="C85" s="3"/>
      <c r="D85" s="3"/>
      <c r="E85" s="3"/>
      <c r="F85" s="3"/>
      <c r="N85" s="4"/>
      <c r="P85" s="2"/>
    </row>
    <row r="86" spans="2:16" ht="12.75" customHeight="1" x14ac:dyDescent="0.35">
      <c r="B86" s="2"/>
      <c r="C86" s="3"/>
      <c r="D86" s="3"/>
      <c r="E86" s="3"/>
      <c r="F86" s="3"/>
      <c r="N86" s="4"/>
      <c r="P86" s="2"/>
    </row>
    <row r="87" spans="2:16" ht="12.75" customHeight="1" x14ac:dyDescent="0.35">
      <c r="B87" s="2"/>
      <c r="C87" s="3"/>
      <c r="D87" s="3"/>
      <c r="E87" s="3"/>
      <c r="F87" s="3"/>
      <c r="N87" s="4"/>
      <c r="P87" s="2"/>
    </row>
    <row r="88" spans="2:16" ht="12.75" customHeight="1" x14ac:dyDescent="0.35">
      <c r="B88" s="2"/>
      <c r="C88" s="3"/>
      <c r="D88" s="3"/>
      <c r="E88" s="3"/>
      <c r="F88" s="3"/>
      <c r="N88" s="4"/>
      <c r="P88" s="2"/>
    </row>
    <row r="89" spans="2:16" ht="12.75" customHeight="1" x14ac:dyDescent="0.35">
      <c r="B89" s="2"/>
      <c r="C89" s="3"/>
      <c r="D89" s="3"/>
      <c r="E89" s="3"/>
      <c r="F89" s="3"/>
      <c r="N89" s="4"/>
      <c r="P89" s="2"/>
    </row>
    <row r="90" spans="2:16" ht="12.75" customHeight="1" x14ac:dyDescent="0.35">
      <c r="B90" s="2"/>
      <c r="C90" s="3"/>
      <c r="D90" s="3"/>
      <c r="E90" s="3"/>
      <c r="F90" s="3"/>
      <c r="N90" s="4"/>
      <c r="P90" s="2"/>
    </row>
    <row r="91" spans="2:16" ht="12.75" customHeight="1" x14ac:dyDescent="0.35">
      <c r="B91" s="2"/>
      <c r="C91" s="3"/>
      <c r="D91" s="3"/>
      <c r="E91" s="3"/>
      <c r="F91" s="3"/>
      <c r="N91" s="4"/>
      <c r="P91" s="2"/>
    </row>
    <row r="92" spans="2:16" ht="12.75" customHeight="1" x14ac:dyDescent="0.35">
      <c r="B92" s="2"/>
      <c r="C92" s="3"/>
      <c r="D92" s="3"/>
      <c r="E92" s="3"/>
      <c r="F92" s="3"/>
      <c r="N92" s="4"/>
      <c r="P92" s="2"/>
    </row>
    <row r="93" spans="2:16" ht="12.75" customHeight="1" x14ac:dyDescent="0.35">
      <c r="B93" s="2"/>
      <c r="C93" s="3"/>
      <c r="D93" s="3"/>
      <c r="E93" s="3"/>
      <c r="F93" s="3"/>
      <c r="N93" s="4"/>
      <c r="P93" s="2"/>
    </row>
    <row r="94" spans="2:16" ht="12.75" customHeight="1" x14ac:dyDescent="0.35">
      <c r="B94" s="2"/>
      <c r="C94" s="3"/>
      <c r="D94" s="3"/>
      <c r="E94" s="3"/>
      <c r="F94" s="3"/>
      <c r="N94" s="4"/>
      <c r="P94" s="2"/>
    </row>
    <row r="95" spans="2:16" ht="12.75" customHeight="1" x14ac:dyDescent="0.35">
      <c r="B95" s="2"/>
      <c r="C95" s="3"/>
      <c r="D95" s="3"/>
      <c r="E95" s="3"/>
      <c r="F95" s="3"/>
      <c r="N95" s="4"/>
      <c r="P95" s="2"/>
    </row>
    <row r="96" spans="2:16" ht="12.75" customHeight="1" x14ac:dyDescent="0.35">
      <c r="B96" s="2"/>
      <c r="C96" s="3"/>
      <c r="D96" s="3"/>
      <c r="E96" s="3"/>
      <c r="F96" s="3"/>
      <c r="N96" s="4"/>
      <c r="P96" s="2"/>
    </row>
    <row r="97" spans="2:16" ht="12.75" customHeight="1" x14ac:dyDescent="0.35">
      <c r="B97" s="2"/>
      <c r="C97" s="3"/>
      <c r="D97" s="3"/>
      <c r="E97" s="3"/>
      <c r="F97" s="3"/>
      <c r="N97" s="4"/>
      <c r="P97" s="2"/>
    </row>
    <row r="98" spans="2:16" ht="12.75" customHeight="1" x14ac:dyDescent="0.35">
      <c r="B98" s="2"/>
      <c r="C98" s="3"/>
      <c r="D98" s="3"/>
      <c r="E98" s="3"/>
      <c r="F98" s="3"/>
      <c r="N98" s="4"/>
      <c r="P98" s="2"/>
    </row>
    <row r="99" spans="2:16" ht="12.75" customHeight="1" x14ac:dyDescent="0.35">
      <c r="B99" s="2"/>
      <c r="C99" s="3"/>
      <c r="D99" s="3"/>
      <c r="E99" s="3"/>
      <c r="F99" s="3"/>
      <c r="N99" s="4"/>
      <c r="P99" s="2"/>
    </row>
    <row r="100" spans="2:16" ht="12.75" customHeight="1" x14ac:dyDescent="0.35">
      <c r="B100" s="2"/>
      <c r="C100" s="3"/>
      <c r="D100" s="3"/>
      <c r="E100" s="3"/>
      <c r="F100" s="3"/>
      <c r="N100" s="4"/>
      <c r="P100" s="2"/>
    </row>
    <row r="101" spans="2:16" ht="12.75" customHeight="1" x14ac:dyDescent="0.35">
      <c r="B101" s="2"/>
      <c r="C101" s="3"/>
      <c r="D101" s="3"/>
      <c r="E101" s="3"/>
      <c r="F101" s="3"/>
      <c r="N101" s="4"/>
      <c r="P101" s="2"/>
    </row>
  </sheetData>
  <mergeCells count="1"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Roshan Geoffrey Joe (Student)</cp:lastModifiedBy>
  <dcterms:created xsi:type="dcterms:W3CDTF">2026-03-06T04:33:51Z</dcterms:created>
  <dcterms:modified xsi:type="dcterms:W3CDTF">2026-03-06T04:36:26Z</dcterms:modified>
</cp:coreProperties>
</file>